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Escolas" sheetId="2" state="visible" r:id="rId2"/>
    <sheet name="Turmas" sheetId="3" state="visible" r:id="rId3"/>
    <sheet name="Habilidades Rede" sheetId="4" state="visible" r:id="rId4"/>
    <sheet name="Habilidades Escola" sheetId="5" state="visible" r:id="rId5"/>
    <sheet name="Habilidades Turma" sheetId="6" state="visible" r:id="rId6"/>
    <sheet name="Conferencia" sheetId="7" state="visible" r:id="rId7"/>
    <sheet name="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0" fillId="0" borderId="2" pivotButton="0" quotePrefix="0" xfId="0"/>
    <xf numFmtId="0" fontId="3" fillId="3" borderId="2" pivotButton="0" quotePrefix="0" xfId="0"/>
    <xf numFmtId="0" fontId="0" fillId="0" borderId="2" applyAlignment="1" pivotButton="0" quotePrefix="0" xfId="0">
      <alignment horizontal="right"/>
    </xf>
    <xf numFmtId="0" fontId="1" fillId="4" borderId="2" pivotButton="0" quotePrefix="0" xfId="0"/>
    <xf numFmtId="1" fontId="0" fillId="0" borderId="2" pivotButton="0" quotePrefix="0" xfId="0"/>
    <xf numFmtId="164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wrapText="1"/>
    </xf>
    <xf numFmtId="0" fontId="4" fillId="2" borderId="2" applyAlignment="1" pivotButton="0" quotePrefix="0" xfId="0">
      <alignment horizontal="center" vertical="center"/>
    </xf>
    <xf numFmtId="165" fontId="0" fillId="0" borderId="2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Proficiência por escola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'Escolas'!M1</f>
            </strRef>
          </tx>
          <spPr>
            <a:ln>
              <a:prstDash val="solid"/>
            </a:ln>
          </spPr>
          <cat>
            <numRef>
              <f>'Escolas'!$I$2:$I$4</f>
            </numRef>
          </cat>
          <val>
            <numRef>
              <f>'Escolas'!$M$2:$M$4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Proficiência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Escola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Habilidades da rede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'Habilidades Rede'!E1</f>
            </strRef>
          </tx>
          <spPr>
            <a:ln>
              <a:prstDash val="solid"/>
            </a:ln>
          </spPr>
          <cat>
            <numRef>
              <f>'Habilidades Rede'!$A$2:$A$9</f>
            </numRef>
          </cat>
          <val>
            <numRef>
              <f>'Habilidades Rede'!$E$2:$E$9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Dominio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Habilidade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26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scolasAnalise" displayName="TblEscolasAnalise" ref="A1:AD4" headerRowCount="1">
  <autoFilter ref="A1:AD4"/>
  <tableColumns count="30">
    <tableColumn id="1" name="Ranking"/>
    <tableColumn id="2" name="Avaliação"/>
    <tableColumn id="3" name="Rede"/>
    <tableColumn id="4" name="Ano Escolar"/>
    <tableColumn id="5" name="Componente Curricular"/>
    <tableColumn id="6" name="Estado"/>
    <tableColumn id="7" name="Regional"/>
    <tableColumn id="8" name="Município"/>
    <tableColumn id="9" name="Escola"/>
    <tableColumn id="10" name="Previstos"/>
    <tableColumn id="11" name="Avaliados"/>
    <tableColumn id="12" name="Participacao %"/>
    <tableColumn id="13" name="Proficiência Média"/>
    <tableColumn id="14" name="Abaixo do básico %"/>
    <tableColumn id="15" name="Básico %"/>
    <tableColumn id="16" name="Adequado %"/>
    <tableColumn id="17" name="Avançado %"/>
    <tableColumn id="18" name="Crítico (%)"/>
    <tableColumn id="19" name="Esperado+ (%)"/>
    <tableColumn id="20" name="H 01 (%)"/>
    <tableColumn id="21" name="H 02 (%)"/>
    <tableColumn id="22" name="H 03 (%)"/>
    <tableColumn id="23" name="H 04 (%)"/>
    <tableColumn id="24" name="H 05 (%)"/>
    <tableColumn id="25" name="H 06 (%)"/>
    <tableColumn id="26" name="H 07 (%)"/>
    <tableColumn id="27" name="H 08 (%)"/>
    <tableColumn id="28" name="Proficiência vs rede"/>
    <tableColumn id="29" name="Habilidade mais frágil"/>
    <tableColumn id="30" name="Habilidade mais for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urmasAnalise" displayName="TblTurmasAnalise" ref="A1:AF6" headerRowCount="1">
  <autoFilter ref="A1:AF6"/>
  <tableColumns count="32">
    <tableColumn id="1" name="Ranking"/>
    <tableColumn id="2" name="Avaliação"/>
    <tableColumn id="3" name="Rede"/>
    <tableColumn id="4" name="Ano Escolar"/>
    <tableColumn id="5" name="Componente Curricular"/>
    <tableColumn id="6" name="Estado"/>
    <tableColumn id="7" name="Regional"/>
    <tableColumn id="8" name="Município"/>
    <tableColumn id="9" name="Escola"/>
    <tableColumn id="10" name="Código da Turma"/>
    <tableColumn id="11" name="Turma"/>
    <tableColumn id="12" name="Previstos"/>
    <tableColumn id="13" name="Avaliados"/>
    <tableColumn id="14" name="Participacao %"/>
    <tableColumn id="15" name="Proficiência Média"/>
    <tableColumn id="16" name="Abaixo do básico %"/>
    <tableColumn id="17" name="Básico %"/>
    <tableColumn id="18" name="Adequado %"/>
    <tableColumn id="19" name="Avançado %"/>
    <tableColumn id="20" name="Crítico (%)"/>
    <tableColumn id="21" name="Esperado+ (%)"/>
    <tableColumn id="22" name="H 01 (%)"/>
    <tableColumn id="23" name="H 02 (%)"/>
    <tableColumn id="24" name="H 03 (%)"/>
    <tableColumn id="25" name="H 04 (%)"/>
    <tableColumn id="26" name="H 05 (%)"/>
    <tableColumn id="27" name="H 06 (%)"/>
    <tableColumn id="28" name="H 07 (%)"/>
    <tableColumn id="29" name="H 08 (%)"/>
    <tableColumn id="30" name="Proficiência vs rede"/>
    <tableColumn id="31" name="Habilidade mais frágil"/>
    <tableColumn id="32" name="Habilidade mais for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HabilidadesRede" displayName="TblHabilidadesRede" ref="A1:F9" headerRowCount="1">
  <autoFilter ref="A1:F9"/>
  <tableColumns count="6">
    <tableColumn id="1" name="Habilidade"/>
    <tableColumn id="2" name="Codigo publico"/>
    <tableColumn id="3" name="Descricao"/>
    <tableColumn id="4" name="Status legenda"/>
    <tableColumn id="5" name="Media da rede (%)"/>
    <tableColumn id="6" name="Prior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HabilidadesEscola" displayName="TblHabilidadesEscola" ref="A1:K4" headerRowCount="1">
  <autoFilter ref="A1:K4"/>
  <tableColumns count="11">
    <tableColumn id="1" name="Escola"/>
    <tableColumn id="2" name="Avaliados"/>
    <tableColumn id="3" name="H01 (D02)"/>
    <tableColumn id="4" name="H02 (D01)"/>
    <tableColumn id="5" name="H03 (D03)"/>
    <tableColumn id="6" name="H04 (D05)"/>
    <tableColumn id="7" name="H05 (D04)"/>
    <tableColumn id="8" name="H06 (D07)"/>
    <tableColumn id="9" name="H07 (D06)"/>
    <tableColumn id="10" name="H08 (D08)"/>
    <tableColumn id="11" name="Media habilidades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abilidadesTurma" displayName="TblHabilidadesTurma" ref="A1:L6" headerRowCount="1">
  <autoFilter ref="A1:L6"/>
  <tableColumns count="12">
    <tableColumn id="1" name="Escola"/>
    <tableColumn id="2" name="Turma"/>
    <tableColumn id="3" name="Avaliados"/>
    <tableColumn id="4" name="H01 (D02)"/>
    <tableColumn id="5" name="H02 (D01)"/>
    <tableColumn id="6" name="H03 (D03)"/>
    <tableColumn id="7" name="H04 (D05)"/>
    <tableColumn id="8" name="H05 (D04)"/>
    <tableColumn id="9" name="H06 (D07)"/>
    <tableColumn id="10" name="H07 (D06)"/>
    <tableColumn id="11" name="H08 (D08)"/>
    <tableColumn id="12" name="Media habilidades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onferencia" displayName="TblConferencia" ref="A1:Q4" headerRowCount="1">
  <autoFilter ref="A1:Q4"/>
  <tableColumns count="17">
    <tableColumn id="1" name="Escola"/>
    <tableColumn id="2" name="Avaliados arquivo escola"/>
    <tableColumn id="3" name="Avaliados soma turmas"/>
    <tableColumn id="4" name="Participacao escola (%)"/>
    <tableColumn id="5" name="Participacao turmas (%)"/>
    <tableColumn id="6" name="Delta participacao (p.p.)"/>
    <tableColumn id="7" name="Proficiencia escola"/>
    <tableColumn id="8" name="Proficiencia turmas"/>
    <tableColumn id="9" name="Delta proficiencia"/>
    <tableColumn id="10" name="H01 delta"/>
    <tableColumn id="11" name="H02 delta"/>
    <tableColumn id="12" name="H03 delta"/>
    <tableColumn id="13" name="H04 delta"/>
    <tableColumn id="14" name="H05 delta"/>
    <tableColumn id="15" name="H06 delta"/>
    <tableColumn id="16" name="H07 delta"/>
    <tableColumn id="17" name="H08 de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4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24" customHeight="1">
      <c r="A1" s="1" t="inlineStr">
        <is>
          <t>Analise Pontual - AvaliaRJ 2025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Contexto</t>
        </is>
      </c>
      <c r="B3" s="2" t="n"/>
      <c r="C3" s="2" t="n"/>
      <c r="D3" s="3" t="inlineStr">
        <is>
          <t>KPIs da rede</t>
        </is>
      </c>
      <c r="E3" s="2" t="n"/>
      <c r="F3" s="2" t="n"/>
      <c r="G3" s="2" t="n"/>
      <c r="H3" s="4" t="inlineStr">
        <is>
          <t>Gerado em 26/03/2026 16:26</t>
        </is>
      </c>
    </row>
    <row r="4">
      <c r="A4" s="2" t="inlineStr">
        <is>
          <t>Avaliacao</t>
        </is>
      </c>
      <c r="B4" s="2" t="inlineStr">
        <is>
          <t>AVALIA RJ 2025</t>
        </is>
      </c>
      <c r="C4" s="2" t="n"/>
      <c r="D4" s="5" t="inlineStr">
        <is>
          <t>Escolas</t>
        </is>
      </c>
      <c r="E4" s="5" t="inlineStr">
        <is>
          <t>Participacao</t>
        </is>
      </c>
      <c r="F4" s="2" t="n"/>
      <c r="G4" s="2" t="n"/>
      <c r="H4" s="2" t="n"/>
    </row>
    <row r="5">
      <c r="A5" s="2" t="inlineStr">
        <is>
          <t>Rede</t>
        </is>
      </c>
      <c r="B5" s="2" t="inlineStr">
        <is>
          <t>MUNICIPAL</t>
        </is>
      </c>
      <c r="C5" s="2" t="n"/>
      <c r="D5" s="6" t="n">
        <v>3</v>
      </c>
      <c r="E5" s="7" t="n">
        <v>0.9105691056910569</v>
      </c>
      <c r="F5" s="2" t="n"/>
      <c r="G5" s="2" t="n"/>
      <c r="H5" s="2" t="n"/>
    </row>
    <row r="6">
      <c r="A6" s="2" t="inlineStr">
        <is>
          <t>Ano escolar</t>
        </is>
      </c>
      <c r="B6" s="2" t="inlineStr">
        <is>
          <t>ENSINO FUNDAMENTAL DE 9 ANOS - 2º ANO</t>
        </is>
      </c>
      <c r="C6" s="2" t="n"/>
      <c r="D6" s="5" t="inlineStr">
        <is>
          <t>Turmas</t>
        </is>
      </c>
      <c r="E6" s="5" t="inlineStr">
        <is>
          <t>Proficiencia media</t>
        </is>
      </c>
      <c r="F6" s="2" t="n"/>
      <c r="G6" s="2" t="n"/>
      <c r="H6" s="2" t="n"/>
    </row>
    <row r="7">
      <c r="A7" s="2" t="inlineStr">
        <is>
          <t>Componente</t>
        </is>
      </c>
      <c r="B7" s="2" t="inlineStr">
        <is>
          <t>LP</t>
        </is>
      </c>
      <c r="C7" s="2" t="n"/>
      <c r="D7" s="6" t="n">
        <v>5</v>
      </c>
      <c r="E7" s="8" t="n">
        <v>621.3482142857143</v>
      </c>
      <c r="F7" s="2" t="n"/>
      <c r="G7" s="2" t="n"/>
      <c r="H7" s="2" t="n"/>
    </row>
    <row r="8">
      <c r="A8" s="2" t="inlineStr">
        <is>
          <t>Municipio</t>
        </is>
      </c>
      <c r="B8" s="2" t="inlineStr">
        <is>
          <t>MENDES</t>
        </is>
      </c>
      <c r="C8" s="2" t="n"/>
      <c r="D8" s="5" t="inlineStr">
        <is>
          <t>Previstos</t>
        </is>
      </c>
      <c r="E8" s="5" t="inlineStr">
        <is>
          <t>Critico</t>
        </is>
      </c>
      <c r="F8" s="2" t="n"/>
      <c r="G8" s="2" t="n"/>
      <c r="H8" s="2" t="n"/>
    </row>
    <row r="9">
      <c r="A9" s="2" t="inlineStr">
        <is>
          <t>Regional</t>
        </is>
      </c>
      <c r="B9" s="2" t="inlineStr">
        <is>
          <t>CENTRO SUL</t>
        </is>
      </c>
      <c r="C9" s="2" t="n"/>
      <c r="D9" s="6" t="n">
        <v>123</v>
      </c>
      <c r="E9" s="7" t="n">
        <v>0.4144642857142857</v>
      </c>
      <c r="F9" s="2" t="n"/>
      <c r="G9" s="2" t="n"/>
      <c r="H9" s="2" t="n"/>
    </row>
    <row r="10">
      <c r="A10" s="2" t="n"/>
      <c r="B10" s="2" t="n"/>
      <c r="C10" s="2" t="n"/>
      <c r="D10" s="5" t="inlineStr">
        <is>
          <t>Avaliados</t>
        </is>
      </c>
      <c r="E10" s="5" t="inlineStr">
        <is>
          <t>Esperado+</t>
        </is>
      </c>
      <c r="F10" s="2" t="n"/>
      <c r="G10" s="2" t="n"/>
      <c r="H10" s="2" t="n"/>
    </row>
    <row r="11">
      <c r="A11" s="3" t="inlineStr">
        <is>
          <t>Principais achados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1</t>
        </is>
      </c>
      <c r="B12" s="9" t="inlineStr">
        <is>
          <t>Rede com 112 avaliados de 123 previstos (91.1%) e proficiencia media ponderada de 621.35.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2</t>
        </is>
      </c>
      <c r="B13" s="9" t="inlineStr">
        <is>
          <t>Melhor escola em proficiencia: EM JAYME SICILIANO (624). Escola com menor proficiencia: E M HILDA BRAGA (615).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3</t>
        </is>
      </c>
      <c r="B14" s="9" t="inlineStr">
        <is>
          <t>Turma destaque: 201 PARCIAL / EM JAYME SICILIANO (660). Turma mais critica: 202 PARCIAL / EM JAYME SICILIANO (568).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4</t>
        </is>
      </c>
      <c r="B15" s="9" t="inlineStr">
        <is>
          <t>Habilidades com menor dominio na rede: H06 (D07) (45.5%), H05 (D04) (52.5%), H08 (D08) (55.0%).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5</t>
        </is>
      </c>
      <c r="B16" s="9" t="inlineStr">
        <is>
          <t>Habilidades mais consolidadas: H01 (D02) (95.5%), H03 (D03) (87.5%), H02 (D01) (82.2%).</t>
        </is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Observacoes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10" t="inlineStr">
        <is>
          <t>- Analise offline e pontual, sem persistencia de microdados na base canonica do projeto.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10" t="inlineStr">
        <is>
          <t>- As habilidades Hxx usam legenda documental de captura 2025 quando disponivel.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10" t="inlineStr">
        <is>
          <t>- Participacao e distribuicao por nivel foram ponderadas por avaliados.</t>
        </is>
      </c>
      <c r="B22" s="2" t="n"/>
      <c r="C22" s="2" t="n"/>
      <c r="D22" s="2" t="n"/>
      <c r="E22" s="2" t="n"/>
      <c r="F22" s="2" t="n"/>
      <c r="G22" s="2" t="n"/>
      <c r="H22" s="2" t="n"/>
    </row>
  </sheetData>
  <mergeCells count="8">
    <mergeCell ref="A21:H21"/>
    <mergeCell ref="A20:H20"/>
    <mergeCell ref="A19:H19"/>
    <mergeCell ref="A11:H11"/>
    <mergeCell ref="D3:F3"/>
    <mergeCell ref="A1:H1"/>
    <mergeCell ref="A3:B3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39" customWidth="1" min="4" max="4"/>
    <col width="23" customWidth="1" min="5" max="5"/>
    <col width="16" customWidth="1" min="6" max="6"/>
    <col width="12" customWidth="1" min="7" max="7"/>
    <col width="11" customWidth="1" min="8" max="8"/>
    <col width="29" customWidth="1" min="9" max="9"/>
    <col width="11" customWidth="1" min="10" max="10"/>
    <col width="11" customWidth="1" min="11" max="11"/>
    <col width="16" customWidth="1" min="12" max="12"/>
    <col width="20" customWidth="1" min="13" max="13"/>
    <col width="2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2" customWidth="1" min="28" max="28"/>
    <col width="24" customWidth="1" min="29" max="29"/>
    <col width="23" customWidth="1" min="30" max="30"/>
  </cols>
  <sheetData>
    <row r="1">
      <c r="A1" s="11" t="inlineStr">
        <is>
          <t>Ranking</t>
        </is>
      </c>
      <c r="B1" s="11" t="inlineStr">
        <is>
          <t>Avaliação</t>
        </is>
      </c>
      <c r="C1" s="11" t="inlineStr">
        <is>
          <t>Rede</t>
        </is>
      </c>
      <c r="D1" s="11" t="inlineStr">
        <is>
          <t>Ano Escolar</t>
        </is>
      </c>
      <c r="E1" s="11" t="inlineStr">
        <is>
          <t>Componente Curricular</t>
        </is>
      </c>
      <c r="F1" s="11" t="inlineStr">
        <is>
          <t>Estado</t>
        </is>
      </c>
      <c r="G1" s="11" t="inlineStr">
        <is>
          <t>Regional</t>
        </is>
      </c>
      <c r="H1" s="11" t="inlineStr">
        <is>
          <t>Município</t>
        </is>
      </c>
      <c r="I1" s="11" t="inlineStr">
        <is>
          <t>Escola</t>
        </is>
      </c>
      <c r="J1" s="11" t="inlineStr">
        <is>
          <t>Previstos</t>
        </is>
      </c>
      <c r="K1" s="11" t="inlineStr">
        <is>
          <t>Avaliados</t>
        </is>
      </c>
      <c r="L1" s="11" t="inlineStr">
        <is>
          <t>Participacao %</t>
        </is>
      </c>
      <c r="M1" s="11" t="inlineStr">
        <is>
          <t>Proficiência Média</t>
        </is>
      </c>
      <c r="N1" s="11" t="inlineStr">
        <is>
          <t>Abaixo do básico %</t>
        </is>
      </c>
      <c r="O1" s="11" t="inlineStr">
        <is>
          <t>Básico %</t>
        </is>
      </c>
      <c r="P1" s="11" t="inlineStr">
        <is>
          <t>Adequado %</t>
        </is>
      </c>
      <c r="Q1" s="11" t="inlineStr">
        <is>
          <t>Avançado %</t>
        </is>
      </c>
      <c r="R1" s="11" t="inlineStr">
        <is>
          <t>Crítico (%)</t>
        </is>
      </c>
      <c r="S1" s="11" t="inlineStr">
        <is>
          <t>Esperado+ (%)</t>
        </is>
      </c>
      <c r="T1" s="11" t="inlineStr">
        <is>
          <t>H 01 (%)</t>
        </is>
      </c>
      <c r="U1" s="11" t="inlineStr">
        <is>
          <t>H 02 (%)</t>
        </is>
      </c>
      <c r="V1" s="11" t="inlineStr">
        <is>
          <t>H 03 (%)</t>
        </is>
      </c>
      <c r="W1" s="11" t="inlineStr">
        <is>
          <t>H 04 (%)</t>
        </is>
      </c>
      <c r="X1" s="11" t="inlineStr">
        <is>
          <t>H 05 (%)</t>
        </is>
      </c>
      <c r="Y1" s="11" t="inlineStr">
        <is>
          <t>H 06 (%)</t>
        </is>
      </c>
      <c r="Z1" s="11" t="inlineStr">
        <is>
          <t>H 07 (%)</t>
        </is>
      </c>
      <c r="AA1" s="11" t="inlineStr">
        <is>
          <t>H 08 (%)</t>
        </is>
      </c>
      <c r="AB1" s="11" t="inlineStr">
        <is>
          <t>Proficiência vs rede</t>
        </is>
      </c>
      <c r="AC1" s="11" t="inlineStr">
        <is>
          <t>Habilidade mais frágil</t>
        </is>
      </c>
      <c r="AD1" s="11" t="inlineStr">
        <is>
          <t>Habilidade mais forte</t>
        </is>
      </c>
    </row>
    <row r="2">
      <c r="A2" s="2" t="n">
        <v>1</v>
      </c>
      <c r="B2" s="2" t="inlineStr">
        <is>
          <t>AVALIA RJ 2025</t>
        </is>
      </c>
      <c r="C2" s="2" t="inlineStr">
        <is>
          <t>MUNICIPAL</t>
        </is>
      </c>
      <c r="D2" s="2" t="inlineStr">
        <is>
          <t>ENSINO FUNDAMENTAL DE 9 ANOS - 2º ANO</t>
        </is>
      </c>
      <c r="E2" s="2" t="inlineStr">
        <is>
          <t>LP</t>
        </is>
      </c>
      <c r="F2" s="2" t="inlineStr">
        <is>
          <t>RIO DE JANEIRO</t>
        </is>
      </c>
      <c r="G2" s="2" t="inlineStr">
        <is>
          <t>CENTRO SUL</t>
        </is>
      </c>
      <c r="H2" s="2" t="inlineStr">
        <is>
          <t>MENDES</t>
        </is>
      </c>
      <c r="I2" s="2" t="inlineStr">
        <is>
          <t>EM JAYME SICILIANO</t>
        </is>
      </c>
      <c r="J2" s="2" t="n">
        <v>64</v>
      </c>
      <c r="K2" s="2" t="n">
        <v>58</v>
      </c>
      <c r="L2" s="12" t="n">
        <v>91</v>
      </c>
      <c r="M2" s="2" t="n">
        <v>624</v>
      </c>
      <c r="N2" s="12" t="n">
        <v>21</v>
      </c>
      <c r="O2" s="12" t="n">
        <v>19</v>
      </c>
      <c r="P2" s="12" t="n">
        <v>36</v>
      </c>
      <c r="Q2" s="12" t="n">
        <v>24</v>
      </c>
      <c r="R2" s="12" t="n">
        <v>40</v>
      </c>
      <c r="S2" s="12" t="n">
        <v>60</v>
      </c>
      <c r="T2" s="2" t="n">
        <v>95</v>
      </c>
      <c r="U2" s="2" t="n">
        <v>80</v>
      </c>
      <c r="V2" s="2" t="n">
        <v>89</v>
      </c>
      <c r="W2" s="2" t="n">
        <v>59</v>
      </c>
      <c r="X2" s="2" t="n">
        <v>52</v>
      </c>
      <c r="Y2" s="2" t="n">
        <v>47</v>
      </c>
      <c r="Z2" s="2" t="n">
        <v>59</v>
      </c>
      <c r="AA2" s="2" t="n">
        <v>56</v>
      </c>
      <c r="AB2" s="8" t="n">
        <v>2.651785714285666</v>
      </c>
      <c r="AC2" s="2" t="inlineStr">
        <is>
          <t>H06 (D07)</t>
        </is>
      </c>
      <c r="AD2" s="2" t="inlineStr">
        <is>
          <t>H01 (D02)</t>
        </is>
      </c>
    </row>
    <row r="3">
      <c r="A3" s="2" t="n">
        <v>2</v>
      </c>
      <c r="B3" s="2" t="inlineStr">
        <is>
          <t>AVALIA RJ 2025</t>
        </is>
      </c>
      <c r="C3" s="2" t="inlineStr">
        <is>
          <t>MUNICIPAL</t>
        </is>
      </c>
      <c r="D3" s="2" t="inlineStr">
        <is>
          <t>ENSINO FUNDAMENTAL DE 9 ANOS - 2º ANO</t>
        </is>
      </c>
      <c r="E3" s="2" t="inlineStr">
        <is>
          <t>LP</t>
        </is>
      </c>
      <c r="F3" s="2" t="inlineStr">
        <is>
          <t>RIO DE JANEIRO</t>
        </is>
      </c>
      <c r="G3" s="2" t="inlineStr">
        <is>
          <t>CENTRO SUL</t>
        </is>
      </c>
      <c r="H3" s="2" t="inlineStr">
        <is>
          <t>MENDES</t>
        </is>
      </c>
      <c r="I3" s="2" t="inlineStr">
        <is>
          <t>E M MARIA SEMEDO DE ANDRADE</t>
        </is>
      </c>
      <c r="J3" s="2" t="n">
        <v>30</v>
      </c>
      <c r="K3" s="2" t="n">
        <v>27</v>
      </c>
      <c r="L3" s="12" t="n">
        <v>90</v>
      </c>
      <c r="M3" s="2" t="n">
        <v>622</v>
      </c>
      <c r="N3" s="12" t="n">
        <v>15</v>
      </c>
      <c r="O3" s="12" t="n">
        <v>30</v>
      </c>
      <c r="P3" s="12" t="n">
        <v>30</v>
      </c>
      <c r="Q3" s="12" t="n">
        <v>26</v>
      </c>
      <c r="R3" s="12" t="n">
        <v>45</v>
      </c>
      <c r="S3" s="12" t="n">
        <v>56</v>
      </c>
      <c r="T3" s="2" t="n">
        <v>98</v>
      </c>
      <c r="U3" s="2" t="n">
        <v>91</v>
      </c>
      <c r="V3" s="2" t="n">
        <v>83</v>
      </c>
      <c r="W3" s="2" t="n">
        <v>67</v>
      </c>
      <c r="X3" s="2" t="n">
        <v>51</v>
      </c>
      <c r="Y3" s="2" t="n">
        <v>47</v>
      </c>
      <c r="Z3" s="2" t="n">
        <v>65</v>
      </c>
      <c r="AA3" s="2" t="n">
        <v>57</v>
      </c>
      <c r="AB3" s="8" t="n">
        <v>0.6517857142856656</v>
      </c>
      <c r="AC3" s="2" t="inlineStr">
        <is>
          <t>H06 (D07)</t>
        </is>
      </c>
      <c r="AD3" s="2" t="inlineStr">
        <is>
          <t>H01 (D02)</t>
        </is>
      </c>
    </row>
    <row r="4">
      <c r="A4" s="2" t="n">
        <v>3</v>
      </c>
      <c r="B4" s="2" t="inlineStr">
        <is>
          <t>AVALIA RJ 2025</t>
        </is>
      </c>
      <c r="C4" s="2" t="inlineStr">
        <is>
          <t>MUNICIPAL</t>
        </is>
      </c>
      <c r="D4" s="2" t="inlineStr">
        <is>
          <t>ENSINO FUNDAMENTAL DE 9 ANOS - 2º ANO</t>
        </is>
      </c>
      <c r="E4" s="2" t="inlineStr">
        <is>
          <t>LP</t>
        </is>
      </c>
      <c r="F4" s="2" t="inlineStr">
        <is>
          <t>RIO DE JANEIRO</t>
        </is>
      </c>
      <c r="G4" s="2" t="inlineStr">
        <is>
          <t>CENTRO SUL</t>
        </is>
      </c>
      <c r="H4" s="2" t="inlineStr">
        <is>
          <t>MENDES</t>
        </is>
      </c>
      <c r="I4" s="2" t="inlineStr">
        <is>
          <t>E M HILDA BRAGA</t>
        </is>
      </c>
      <c r="J4" s="2" t="n">
        <v>29</v>
      </c>
      <c r="K4" s="2" t="n">
        <v>27</v>
      </c>
      <c r="L4" s="12" t="n">
        <v>93</v>
      </c>
      <c r="M4" s="2" t="n">
        <v>615</v>
      </c>
      <c r="N4" s="12" t="n">
        <v>19</v>
      </c>
      <c r="O4" s="12" t="n">
        <v>22</v>
      </c>
      <c r="P4" s="12" t="n">
        <v>41</v>
      </c>
      <c r="Q4" s="12" t="n">
        <v>19</v>
      </c>
      <c r="R4" s="12" t="n">
        <v>41</v>
      </c>
      <c r="S4" s="12" t="n">
        <v>60</v>
      </c>
      <c r="T4" s="2" t="n">
        <v>94</v>
      </c>
      <c r="U4" s="2" t="n">
        <v>78</v>
      </c>
      <c r="V4" s="2" t="n">
        <v>89</v>
      </c>
      <c r="W4" s="2" t="n">
        <v>74</v>
      </c>
      <c r="X4" s="2" t="n">
        <v>55</v>
      </c>
      <c r="Y4" s="2" t="n">
        <v>41</v>
      </c>
      <c r="Z4" s="2" t="n">
        <v>53</v>
      </c>
      <c r="AA4" s="2" t="n">
        <v>51</v>
      </c>
      <c r="AB4" s="8" t="n">
        <v>-6.348214285714334</v>
      </c>
      <c r="AC4" s="2" t="inlineStr">
        <is>
          <t>H06 (D07)</t>
        </is>
      </c>
      <c r="AD4" s="2" t="inlineStr">
        <is>
          <t>H01 (D02)</t>
        </is>
      </c>
    </row>
  </sheetData>
  <conditionalFormatting sqref="M2:S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39" customWidth="1" min="4" max="4"/>
    <col width="23" customWidth="1" min="5" max="5"/>
    <col width="16" customWidth="1" min="6" max="6"/>
    <col width="12" customWidth="1" min="7" max="7"/>
    <col width="11" customWidth="1" min="8" max="8"/>
    <col width="29" customWidth="1" min="9" max="9"/>
    <col width="19" customWidth="1" min="10" max="10"/>
    <col width="14" customWidth="1" min="11" max="11"/>
    <col width="11" customWidth="1" min="12" max="12"/>
    <col width="11" customWidth="1" min="13" max="13"/>
    <col width="16" customWidth="1" min="14" max="14"/>
    <col width="20" customWidth="1" min="15" max="15"/>
    <col width="20" customWidth="1" min="16" max="16"/>
    <col width="20" customWidth="1" min="17" max="17"/>
    <col width="12" customWidth="1" min="18" max="18"/>
    <col width="12" customWidth="1" min="19" max="19"/>
    <col width="13" customWidth="1" min="20" max="20"/>
    <col width="15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22" customWidth="1" min="30" max="30"/>
    <col width="24" customWidth="1" min="31" max="31"/>
    <col width="23" customWidth="1" min="32" max="32"/>
  </cols>
  <sheetData>
    <row r="1">
      <c r="A1" s="11" t="inlineStr">
        <is>
          <t>Ranking</t>
        </is>
      </c>
      <c r="B1" s="11" t="inlineStr">
        <is>
          <t>Avaliação</t>
        </is>
      </c>
      <c r="C1" s="11" t="inlineStr">
        <is>
          <t>Rede</t>
        </is>
      </c>
      <c r="D1" s="11" t="inlineStr">
        <is>
          <t>Ano Escolar</t>
        </is>
      </c>
      <c r="E1" s="11" t="inlineStr">
        <is>
          <t>Componente Curricular</t>
        </is>
      </c>
      <c r="F1" s="11" t="inlineStr">
        <is>
          <t>Estado</t>
        </is>
      </c>
      <c r="G1" s="11" t="inlineStr">
        <is>
          <t>Regional</t>
        </is>
      </c>
      <c r="H1" s="11" t="inlineStr">
        <is>
          <t>Município</t>
        </is>
      </c>
      <c r="I1" s="11" t="inlineStr">
        <is>
          <t>Escola</t>
        </is>
      </c>
      <c r="J1" s="11" t="inlineStr">
        <is>
          <t>Código da Turma</t>
        </is>
      </c>
      <c r="K1" s="11" t="inlineStr">
        <is>
          <t>Turma</t>
        </is>
      </c>
      <c r="L1" s="11" t="inlineStr">
        <is>
          <t>Previstos</t>
        </is>
      </c>
      <c r="M1" s="11" t="inlineStr">
        <is>
          <t>Avaliados</t>
        </is>
      </c>
      <c r="N1" s="11" t="inlineStr">
        <is>
          <t>Participacao %</t>
        </is>
      </c>
      <c r="O1" s="11" t="inlineStr">
        <is>
          <t>Proficiência Média</t>
        </is>
      </c>
      <c r="P1" s="11" t="inlineStr">
        <is>
          <t>Abaixo do básico %</t>
        </is>
      </c>
      <c r="Q1" s="11" t="inlineStr">
        <is>
          <t>Básico %</t>
        </is>
      </c>
      <c r="R1" s="11" t="inlineStr">
        <is>
          <t>Adequado %</t>
        </is>
      </c>
      <c r="S1" s="11" t="inlineStr">
        <is>
          <t>Avançado %</t>
        </is>
      </c>
      <c r="T1" s="11" t="inlineStr">
        <is>
          <t>Crítico (%)</t>
        </is>
      </c>
      <c r="U1" s="11" t="inlineStr">
        <is>
          <t>Esperado+ (%)</t>
        </is>
      </c>
      <c r="V1" s="11" t="inlineStr">
        <is>
          <t>H 01 (%)</t>
        </is>
      </c>
      <c r="W1" s="11" t="inlineStr">
        <is>
          <t>H 02 (%)</t>
        </is>
      </c>
      <c r="X1" s="11" t="inlineStr">
        <is>
          <t>H 03 (%)</t>
        </is>
      </c>
      <c r="Y1" s="11" t="inlineStr">
        <is>
          <t>H 04 (%)</t>
        </is>
      </c>
      <c r="Z1" s="11" t="inlineStr">
        <is>
          <t>H 05 (%)</t>
        </is>
      </c>
      <c r="AA1" s="11" t="inlineStr">
        <is>
          <t>H 06 (%)</t>
        </is>
      </c>
      <c r="AB1" s="11" t="inlineStr">
        <is>
          <t>H 07 (%)</t>
        </is>
      </c>
      <c r="AC1" s="11" t="inlineStr">
        <is>
          <t>H 08 (%)</t>
        </is>
      </c>
      <c r="AD1" s="11" t="inlineStr">
        <is>
          <t>Proficiência vs rede</t>
        </is>
      </c>
      <c r="AE1" s="11" t="inlineStr">
        <is>
          <t>Habilidade mais frágil</t>
        </is>
      </c>
      <c r="AF1" s="11" t="inlineStr">
        <is>
          <t>Habilidade mais forte</t>
        </is>
      </c>
    </row>
    <row r="2">
      <c r="A2" s="2" t="n">
        <v>1</v>
      </c>
      <c r="B2" s="2" t="inlineStr">
        <is>
          <t>AVALIA RJ 2025</t>
        </is>
      </c>
      <c r="C2" s="2" t="inlineStr">
        <is>
          <t>MUNICIPAL</t>
        </is>
      </c>
      <c r="D2" s="2" t="inlineStr">
        <is>
          <t>ENSINO FUNDAMENTAL DE 9 ANOS - 2º ANO</t>
        </is>
      </c>
      <c r="E2" s="2" t="inlineStr">
        <is>
          <t>LP</t>
        </is>
      </c>
      <c r="F2" s="2" t="inlineStr">
        <is>
          <t>RIO DE JANEIRO</t>
        </is>
      </c>
      <c r="G2" s="2" t="inlineStr">
        <is>
          <t>CENTRO SUL</t>
        </is>
      </c>
      <c r="H2" s="2" t="inlineStr">
        <is>
          <t>MENDES</t>
        </is>
      </c>
      <c r="I2" s="2" t="inlineStr">
        <is>
          <t>EM JAYME SICILIANO</t>
        </is>
      </c>
      <c r="J2" s="2" t="inlineStr">
        <is>
          <t>20602271500002483</t>
        </is>
      </c>
      <c r="K2" s="2" t="inlineStr">
        <is>
          <t>201 PARCIAL</t>
        </is>
      </c>
      <c r="L2" s="2" t="n">
        <v>25</v>
      </c>
      <c r="M2" s="2" t="n">
        <v>22</v>
      </c>
      <c r="N2" s="12" t="n">
        <v>88</v>
      </c>
      <c r="O2" s="2" t="n">
        <v>660</v>
      </c>
      <c r="P2" s="12" t="n">
        <v>5</v>
      </c>
      <c r="Q2" s="12" t="n">
        <v>27</v>
      </c>
      <c r="R2" s="12" t="n">
        <v>36</v>
      </c>
      <c r="S2" s="12" t="n">
        <v>32</v>
      </c>
      <c r="T2" s="12" t="n">
        <v>32</v>
      </c>
      <c r="U2" s="12" t="n">
        <v>68</v>
      </c>
      <c r="V2" s="2" t="n">
        <v>95</v>
      </c>
      <c r="W2" s="2" t="n">
        <v>59</v>
      </c>
      <c r="X2" s="2" t="n">
        <v>100</v>
      </c>
      <c r="Y2" s="2" t="n">
        <v>78</v>
      </c>
      <c r="Z2" s="2" t="n">
        <v>54</v>
      </c>
      <c r="AA2" s="2" t="n">
        <v>44</v>
      </c>
      <c r="AB2" s="2" t="n">
        <v>74</v>
      </c>
      <c r="AC2" s="2" t="n">
        <v>66</v>
      </c>
      <c r="AD2" s="8" t="n">
        <v>38.65178571428567</v>
      </c>
      <c r="AE2" s="2" t="inlineStr">
        <is>
          <t>H06 (D07)</t>
        </is>
      </c>
      <c r="AF2" s="2" t="inlineStr">
        <is>
          <t>H03 (D03)</t>
        </is>
      </c>
    </row>
    <row r="3">
      <c r="A3" s="2" t="n">
        <v>2</v>
      </c>
      <c r="B3" s="2" t="inlineStr">
        <is>
          <t>AVALIA RJ 2025</t>
        </is>
      </c>
      <c r="C3" s="2" t="inlineStr">
        <is>
          <t>MUNICIPAL</t>
        </is>
      </c>
      <c r="D3" s="2" t="inlineStr">
        <is>
          <t>ENSINO FUNDAMENTAL DE 9 ANOS - 2º ANO</t>
        </is>
      </c>
      <c r="E3" s="2" t="inlineStr">
        <is>
          <t>LP</t>
        </is>
      </c>
      <c r="F3" s="2" t="inlineStr">
        <is>
          <t>RIO DE JANEIRO</t>
        </is>
      </c>
      <c r="G3" s="2" t="inlineStr">
        <is>
          <t>CENTRO SUL</t>
        </is>
      </c>
      <c r="H3" s="2" t="inlineStr">
        <is>
          <t>MENDES</t>
        </is>
      </c>
      <c r="I3" s="2" t="inlineStr">
        <is>
          <t>EM JAYME SICILIANO</t>
        </is>
      </c>
      <c r="J3" s="2" t="inlineStr">
        <is>
          <t>20602271500002482</t>
        </is>
      </c>
      <c r="K3" s="2" t="inlineStr">
        <is>
          <t>200 PARCIAL</t>
        </is>
      </c>
      <c r="L3" s="2" t="n">
        <v>22</v>
      </c>
      <c r="M3" s="2" t="n">
        <v>21</v>
      </c>
      <c r="N3" s="12" t="n">
        <v>95</v>
      </c>
      <c r="O3" s="2" t="n">
        <v>627</v>
      </c>
      <c r="P3" s="12" t="n">
        <v>19</v>
      </c>
      <c r="Q3" s="12" t="n">
        <v>14</v>
      </c>
      <c r="R3" s="12" t="n">
        <v>43</v>
      </c>
      <c r="S3" s="12" t="n">
        <v>24</v>
      </c>
      <c r="T3" s="12" t="n">
        <v>33</v>
      </c>
      <c r="U3" s="12" t="n">
        <v>67</v>
      </c>
      <c r="V3" s="2" t="n">
        <v>90</v>
      </c>
      <c r="W3" s="2" t="n">
        <v>90</v>
      </c>
      <c r="X3" s="2" t="n">
        <v>100</v>
      </c>
      <c r="Y3" s="2" t="n">
        <v>61</v>
      </c>
      <c r="Z3" s="2" t="n">
        <v>58</v>
      </c>
      <c r="AA3" s="2" t="n">
        <v>50</v>
      </c>
      <c r="AB3" s="2" t="n">
        <v>51</v>
      </c>
      <c r="AC3" s="2" t="n">
        <v>56</v>
      </c>
      <c r="AD3" s="8" t="n">
        <v>5.651785714285666</v>
      </c>
      <c r="AE3" s="2" t="inlineStr">
        <is>
          <t>H06 (D07)</t>
        </is>
      </c>
      <c r="AF3" s="2" t="inlineStr">
        <is>
          <t>H03 (D03)</t>
        </is>
      </c>
    </row>
    <row r="4">
      <c r="A4" s="2" t="n">
        <v>3</v>
      </c>
      <c r="B4" s="2" t="inlineStr">
        <is>
          <t>AVALIA RJ 2025</t>
        </is>
      </c>
      <c r="C4" s="2" t="inlineStr">
        <is>
          <t>MUNICIPAL</t>
        </is>
      </c>
      <c r="D4" s="2" t="inlineStr">
        <is>
          <t>ENSINO FUNDAMENTAL DE 9 ANOS - 2º ANO</t>
        </is>
      </c>
      <c r="E4" s="2" t="inlineStr">
        <is>
          <t>LP</t>
        </is>
      </c>
      <c r="F4" s="2" t="inlineStr">
        <is>
          <t>RIO DE JANEIRO</t>
        </is>
      </c>
      <c r="G4" s="2" t="inlineStr">
        <is>
          <t>CENTRO SUL</t>
        </is>
      </c>
      <c r="H4" s="2" t="inlineStr">
        <is>
          <t>MENDES</t>
        </is>
      </c>
      <c r="I4" s="2" t="inlineStr">
        <is>
          <t>E M MARIA SEMEDO DE ANDRADE</t>
        </is>
      </c>
      <c r="J4" s="2" t="inlineStr">
        <is>
          <t>20602271500002487</t>
        </is>
      </c>
      <c r="K4" s="2" t="inlineStr">
        <is>
          <t>200 INTEGRAL</t>
        </is>
      </c>
      <c r="L4" s="2" t="n">
        <v>30</v>
      </c>
      <c r="M4" s="2" t="n">
        <v>27</v>
      </c>
      <c r="N4" s="12" t="n">
        <v>90</v>
      </c>
      <c r="O4" s="2" t="n">
        <v>622</v>
      </c>
      <c r="P4" s="12" t="n">
        <v>15</v>
      </c>
      <c r="Q4" s="12" t="n">
        <v>30</v>
      </c>
      <c r="R4" s="12" t="n">
        <v>30</v>
      </c>
      <c r="S4" s="12" t="n">
        <v>26</v>
      </c>
      <c r="T4" s="12" t="n">
        <v>45</v>
      </c>
      <c r="U4" s="12" t="n">
        <v>56</v>
      </c>
      <c r="V4" s="2" t="n">
        <v>98</v>
      </c>
      <c r="W4" s="2" t="n">
        <v>91</v>
      </c>
      <c r="X4" s="2" t="n">
        <v>83</v>
      </c>
      <c r="Y4" s="2" t="n">
        <v>67</v>
      </c>
      <c r="Z4" s="2" t="n">
        <v>51</v>
      </c>
      <c r="AA4" s="2" t="n">
        <v>47</v>
      </c>
      <c r="AB4" s="2" t="n">
        <v>65</v>
      </c>
      <c r="AC4" s="2" t="n">
        <v>57</v>
      </c>
      <c r="AD4" s="8" t="n">
        <v>0.6517857142856656</v>
      </c>
      <c r="AE4" s="2" t="inlineStr">
        <is>
          <t>H06 (D07)</t>
        </is>
      </c>
      <c r="AF4" s="2" t="inlineStr">
        <is>
          <t>H01 (D02)</t>
        </is>
      </c>
    </row>
    <row r="5">
      <c r="A5" s="2" t="n">
        <v>4</v>
      </c>
      <c r="B5" s="2" t="inlineStr">
        <is>
          <t>AVALIA RJ 2025</t>
        </is>
      </c>
      <c r="C5" s="2" t="inlineStr">
        <is>
          <t>MUNICIPAL</t>
        </is>
      </c>
      <c r="D5" s="2" t="inlineStr">
        <is>
          <t>ENSINO FUNDAMENTAL DE 9 ANOS - 2º ANO</t>
        </is>
      </c>
      <c r="E5" s="2" t="inlineStr">
        <is>
          <t>LP</t>
        </is>
      </c>
      <c r="F5" s="2" t="inlineStr">
        <is>
          <t>RIO DE JANEIRO</t>
        </is>
      </c>
      <c r="G5" s="2" t="inlineStr">
        <is>
          <t>CENTRO SUL</t>
        </is>
      </c>
      <c r="H5" s="2" t="inlineStr">
        <is>
          <t>MENDES</t>
        </is>
      </c>
      <c r="I5" s="2" t="inlineStr">
        <is>
          <t>E M HILDA BRAGA</t>
        </is>
      </c>
      <c r="J5" s="2" t="inlineStr">
        <is>
          <t>20602271500002486</t>
        </is>
      </c>
      <c r="K5" s="2" t="inlineStr">
        <is>
          <t>2 ANO</t>
        </is>
      </c>
      <c r="L5" s="2" t="n">
        <v>29</v>
      </c>
      <c r="M5" s="2" t="n">
        <v>27</v>
      </c>
      <c r="N5" s="12" t="n">
        <v>93</v>
      </c>
      <c r="O5" s="2" t="n">
        <v>615</v>
      </c>
      <c r="P5" s="12" t="n">
        <v>19</v>
      </c>
      <c r="Q5" s="12" t="n">
        <v>22</v>
      </c>
      <c r="R5" s="12" t="n">
        <v>41</v>
      </c>
      <c r="S5" s="12" t="n">
        <v>19</v>
      </c>
      <c r="T5" s="12" t="n">
        <v>41</v>
      </c>
      <c r="U5" s="12" t="n">
        <v>60</v>
      </c>
      <c r="V5" s="2" t="n">
        <v>94</v>
      </c>
      <c r="W5" s="2" t="n">
        <v>78</v>
      </c>
      <c r="X5" s="2" t="n">
        <v>89</v>
      </c>
      <c r="Y5" s="2" t="n">
        <v>74</v>
      </c>
      <c r="Z5" s="2" t="n">
        <v>55</v>
      </c>
      <c r="AA5" s="2" t="n">
        <v>41</v>
      </c>
      <c r="AB5" s="2" t="n">
        <v>53</v>
      </c>
      <c r="AC5" s="2" t="n">
        <v>51</v>
      </c>
      <c r="AD5" s="8" t="n">
        <v>-6.348214285714334</v>
      </c>
      <c r="AE5" s="2" t="inlineStr">
        <is>
          <t>H06 (D07)</t>
        </is>
      </c>
      <c r="AF5" s="2" t="inlineStr">
        <is>
          <t>H01 (D02)</t>
        </is>
      </c>
    </row>
    <row r="6">
      <c r="A6" s="2" t="n">
        <v>5</v>
      </c>
      <c r="B6" s="2" t="inlineStr">
        <is>
          <t>AVALIA RJ 2025</t>
        </is>
      </c>
      <c r="C6" s="2" t="inlineStr">
        <is>
          <t>MUNICIPAL</t>
        </is>
      </c>
      <c r="D6" s="2" t="inlineStr">
        <is>
          <t>ENSINO FUNDAMENTAL DE 9 ANOS - 2º ANO</t>
        </is>
      </c>
      <c r="E6" s="2" t="inlineStr">
        <is>
          <t>LP</t>
        </is>
      </c>
      <c r="F6" s="2" t="inlineStr">
        <is>
          <t>RIO DE JANEIRO</t>
        </is>
      </c>
      <c r="G6" s="2" t="inlineStr">
        <is>
          <t>CENTRO SUL</t>
        </is>
      </c>
      <c r="H6" s="2" t="inlineStr">
        <is>
          <t>MENDES</t>
        </is>
      </c>
      <c r="I6" s="2" t="inlineStr">
        <is>
          <t>EM JAYME SICILIANO</t>
        </is>
      </c>
      <c r="J6" s="2" t="inlineStr">
        <is>
          <t>20602271500002484</t>
        </is>
      </c>
      <c r="K6" s="2" t="inlineStr">
        <is>
          <t>202 PARCIAL</t>
        </is>
      </c>
      <c r="L6" s="2" t="n">
        <v>17</v>
      </c>
      <c r="M6" s="2" t="n">
        <v>15</v>
      </c>
      <c r="N6" s="12" t="n">
        <v>88</v>
      </c>
      <c r="O6" s="2" t="n">
        <v>568</v>
      </c>
      <c r="P6" s="12" t="n">
        <v>47</v>
      </c>
      <c r="Q6" s="12" t="n">
        <v>13</v>
      </c>
      <c r="R6" s="12" t="n">
        <v>27</v>
      </c>
      <c r="S6" s="12" t="n">
        <v>13</v>
      </c>
      <c r="T6" s="12" t="n">
        <v>60</v>
      </c>
      <c r="U6" s="12" t="n">
        <v>40</v>
      </c>
      <c r="V6" s="2" t="n">
        <v>100</v>
      </c>
      <c r="W6" s="2" t="n">
        <v>87</v>
      </c>
      <c r="X6" s="2" t="n">
        <v>67</v>
      </c>
      <c r="Y6" s="2" t="n">
        <v>39</v>
      </c>
      <c r="Z6" s="2" t="n">
        <v>40</v>
      </c>
      <c r="AA6" s="2" t="n">
        <v>47</v>
      </c>
      <c r="AB6" s="2" t="n">
        <v>52</v>
      </c>
      <c r="AC6" s="2" t="n">
        <v>37</v>
      </c>
      <c r="AD6" s="8" t="n">
        <v>-53.34821428571433</v>
      </c>
      <c r="AE6" s="2" t="inlineStr">
        <is>
          <t>H08 (D08)</t>
        </is>
      </c>
      <c r="AF6" s="2" t="inlineStr">
        <is>
          <t>H01 (D02)</t>
        </is>
      </c>
    </row>
  </sheetData>
  <conditionalFormatting sqref="O2:U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4" customWidth="1" min="4" max="4"/>
    <col width="19" customWidth="1" min="5" max="5"/>
    <col width="17" customWidth="1" min="6" max="6"/>
  </cols>
  <sheetData>
    <row r="1">
      <c r="A1" s="11" t="inlineStr">
        <is>
          <t>Habilidade</t>
        </is>
      </c>
      <c r="B1" s="11" t="inlineStr">
        <is>
          <t>Codigo publico</t>
        </is>
      </c>
      <c r="C1" s="11" t="inlineStr">
        <is>
          <t>Descricao</t>
        </is>
      </c>
      <c r="D1" s="11" t="inlineStr">
        <is>
          <t>Status legenda</t>
        </is>
      </c>
      <c r="E1" s="11" t="inlineStr">
        <is>
          <t>Media da rede (%)</t>
        </is>
      </c>
      <c r="F1" s="11" t="inlineStr">
        <is>
          <t>Prioridade</t>
        </is>
      </c>
    </row>
    <row r="2">
      <c r="A2" s="2" t="inlineStr">
        <is>
          <t>H06 (D07)</t>
        </is>
      </c>
      <c r="B2" s="2" t="inlineStr">
        <is>
          <t>D07</t>
        </is>
      </c>
      <c r="C2" s="2" t="inlineStr">
        <is>
          <t>Habilidade H06 associada ao codigo publico D07 na captura da plataforma 2025</t>
        </is>
      </c>
      <c r="D2" s="2" t="inlineStr">
        <is>
          <t>documentado_na_legenda</t>
        </is>
      </c>
      <c r="E2" s="12" t="n">
        <v>45.55</v>
      </c>
      <c r="F2" s="2" t="inlineStr">
        <is>
          <t>Prioridade alta</t>
        </is>
      </c>
    </row>
    <row r="3">
      <c r="A3" s="2" t="inlineStr">
        <is>
          <t>H05 (D04)</t>
        </is>
      </c>
      <c r="B3" s="2" t="inlineStr">
        <is>
          <t>D04</t>
        </is>
      </c>
      <c r="C3" s="2" t="inlineStr">
        <is>
          <t>Habilidade H05 associada ao codigo publico D04 na captura da plataforma 2025</t>
        </is>
      </c>
      <c r="D3" s="2" t="inlineStr">
        <is>
          <t>documentado_na_legenda</t>
        </is>
      </c>
      <c r="E3" s="12" t="n">
        <v>52.48</v>
      </c>
      <c r="F3" s="2" t="inlineStr">
        <is>
          <t>Prioridade alta</t>
        </is>
      </c>
    </row>
    <row r="4">
      <c r="A4" s="2" t="inlineStr">
        <is>
          <t>H08 (D08)</t>
        </is>
      </c>
      <c r="B4" s="2" t="inlineStr">
        <is>
          <t>D08</t>
        </is>
      </c>
      <c r="C4" s="2" t="inlineStr">
        <is>
          <t>Habilidade H08 associada ao codigo publico D08 na captura da plataforma 2025</t>
        </is>
      </c>
      <c r="D4" s="2" t="inlineStr">
        <is>
          <t>documentado_na_legenda</t>
        </is>
      </c>
      <c r="E4" s="12" t="n">
        <v>55.04</v>
      </c>
      <c r="F4" s="2" t="inlineStr">
        <is>
          <t>Prioridade alta</t>
        </is>
      </c>
    </row>
    <row r="5">
      <c r="A5" s="2" t="inlineStr">
        <is>
          <t>H07 (D06)</t>
        </is>
      </c>
      <c r="B5" s="2" t="inlineStr">
        <is>
          <t>D06</t>
        </is>
      </c>
      <c r="C5" s="2" t="inlineStr">
        <is>
          <t>Habilidade H07 associada ao codigo publico D06 na captura da plataforma 2025</t>
        </is>
      </c>
      <c r="D5" s="2" t="inlineStr">
        <is>
          <t>documentado_na_legenda</t>
        </is>
      </c>
      <c r="E5" s="12" t="n">
        <v>59</v>
      </c>
      <c r="F5" s="2" t="inlineStr">
        <is>
          <t>Prioridade alta</t>
        </is>
      </c>
    </row>
    <row r="6">
      <c r="A6" s="2" t="inlineStr">
        <is>
          <t>H04 (D05)</t>
        </is>
      </c>
      <c r="B6" s="2" t="inlineStr">
        <is>
          <t>D05</t>
        </is>
      </c>
      <c r="C6" s="2" t="inlineStr">
        <is>
          <t>Habilidade H04 associada ao codigo publico D05 na captura da plataforma 2025</t>
        </is>
      </c>
      <c r="D6" s="2" t="inlineStr">
        <is>
          <t>documentado_na_legenda</t>
        </is>
      </c>
      <c r="E6" s="12" t="n">
        <v>64.54000000000001</v>
      </c>
      <c r="F6" s="2" t="inlineStr">
        <is>
          <t>Acompanhar</t>
        </is>
      </c>
    </row>
    <row r="7">
      <c r="A7" s="2" t="inlineStr">
        <is>
          <t>H02 (D01)</t>
        </is>
      </c>
      <c r="B7" s="2" t="inlineStr">
        <is>
          <t>D01</t>
        </is>
      </c>
      <c r="C7" s="2" t="inlineStr">
        <is>
          <t>Habilidade H02 associada ao codigo publico D01 na captura da plataforma 2025</t>
        </is>
      </c>
      <c r="D7" s="2" t="inlineStr">
        <is>
          <t>documentado_na_legenda</t>
        </is>
      </c>
      <c r="E7" s="12" t="n">
        <v>82.17</v>
      </c>
      <c r="F7" s="2" t="inlineStr">
        <is>
          <t>Consolidada</t>
        </is>
      </c>
    </row>
    <row r="8">
      <c r="A8" s="2" t="inlineStr">
        <is>
          <t>H03 (D03)</t>
        </is>
      </c>
      <c r="B8" s="2" t="inlineStr">
        <is>
          <t>D03</t>
        </is>
      </c>
      <c r="C8" s="2" t="inlineStr">
        <is>
          <t>Habilidade H03 associada ao codigo publico D03 na captura da plataforma 2025</t>
        </is>
      </c>
      <c r="D8" s="2" t="inlineStr">
        <is>
          <t>documentado_na_legenda</t>
        </is>
      </c>
      <c r="E8" s="12" t="n">
        <v>87.55</v>
      </c>
      <c r="F8" s="2" t="inlineStr">
        <is>
          <t>Consolidada</t>
        </is>
      </c>
    </row>
    <row r="9">
      <c r="A9" s="2" t="inlineStr">
        <is>
          <t>H01 (D02)</t>
        </is>
      </c>
      <c r="B9" s="2" t="inlineStr">
        <is>
          <t>D02</t>
        </is>
      </c>
      <c r="C9" s="2" t="inlineStr">
        <is>
          <t>Habilidade H01 associada ao codigo publico D02 na captura da plataforma 2025</t>
        </is>
      </c>
      <c r="D9" s="2" t="inlineStr">
        <is>
          <t>documentado_na_legenda</t>
        </is>
      </c>
      <c r="E9" s="12" t="n">
        <v>95.48</v>
      </c>
      <c r="F9" s="2" t="inlineStr">
        <is>
          <t>Consolidada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3" customWidth="1" min="11" max="11"/>
  </cols>
  <sheetData>
    <row r="1">
      <c r="A1" s="11" t="inlineStr">
        <is>
          <t>Escola</t>
        </is>
      </c>
      <c r="B1" s="11" t="inlineStr">
        <is>
          <t>Avaliados</t>
        </is>
      </c>
      <c r="C1" s="11" t="inlineStr">
        <is>
          <t>H01 (D02)</t>
        </is>
      </c>
      <c r="D1" s="11" t="inlineStr">
        <is>
          <t>H02 (D01)</t>
        </is>
      </c>
      <c r="E1" s="11" t="inlineStr">
        <is>
          <t>H03 (D03)</t>
        </is>
      </c>
      <c r="F1" s="11" t="inlineStr">
        <is>
          <t>H04 (D05)</t>
        </is>
      </c>
      <c r="G1" s="11" t="inlineStr">
        <is>
          <t>H05 (D04)</t>
        </is>
      </c>
      <c r="H1" s="11" t="inlineStr">
        <is>
          <t>H06 (D07)</t>
        </is>
      </c>
      <c r="I1" s="11" t="inlineStr">
        <is>
          <t>H07 (D06)</t>
        </is>
      </c>
      <c r="J1" s="11" t="inlineStr">
        <is>
          <t>H08 (D08)</t>
        </is>
      </c>
      <c r="K1" s="11" t="inlineStr">
        <is>
          <t>Media habilidades (%)</t>
        </is>
      </c>
    </row>
    <row r="2">
      <c r="A2" s="2" t="inlineStr">
        <is>
          <t>E M MARIA SEMEDO DE ANDRADE</t>
        </is>
      </c>
      <c r="B2" s="2" t="n">
        <v>27</v>
      </c>
      <c r="C2" s="12" t="n">
        <v>98</v>
      </c>
      <c r="D2" s="12" t="n">
        <v>91</v>
      </c>
      <c r="E2" s="12" t="n">
        <v>83</v>
      </c>
      <c r="F2" s="12" t="n">
        <v>67</v>
      </c>
      <c r="G2" s="12" t="n">
        <v>51</v>
      </c>
      <c r="H2" s="12" t="n">
        <v>47</v>
      </c>
      <c r="I2" s="12" t="n">
        <v>65</v>
      </c>
      <c r="J2" s="12" t="n">
        <v>57</v>
      </c>
      <c r="K2" s="12" t="n">
        <v>69.875</v>
      </c>
    </row>
    <row r="3">
      <c r="A3" s="2" t="inlineStr">
        <is>
          <t>EM JAYME SICILIANO</t>
        </is>
      </c>
      <c r="B3" s="2" t="n">
        <v>58</v>
      </c>
      <c r="C3" s="12" t="n">
        <v>95</v>
      </c>
      <c r="D3" s="12" t="n">
        <v>80</v>
      </c>
      <c r="E3" s="12" t="n">
        <v>89</v>
      </c>
      <c r="F3" s="12" t="n">
        <v>59</v>
      </c>
      <c r="G3" s="12" t="n">
        <v>52</v>
      </c>
      <c r="H3" s="12" t="n">
        <v>47</v>
      </c>
      <c r="I3" s="12" t="n">
        <v>59</v>
      </c>
      <c r="J3" s="12" t="n">
        <v>56</v>
      </c>
      <c r="K3" s="12" t="n">
        <v>67.125</v>
      </c>
    </row>
    <row r="4">
      <c r="A4" s="2" t="inlineStr">
        <is>
          <t>E M HILDA BRAGA</t>
        </is>
      </c>
      <c r="B4" s="2" t="n">
        <v>27</v>
      </c>
      <c r="C4" s="12" t="n">
        <v>94</v>
      </c>
      <c r="D4" s="12" t="n">
        <v>78</v>
      </c>
      <c r="E4" s="12" t="n">
        <v>89</v>
      </c>
      <c r="F4" s="12" t="n">
        <v>74</v>
      </c>
      <c r="G4" s="12" t="n">
        <v>55</v>
      </c>
      <c r="H4" s="12" t="n">
        <v>41</v>
      </c>
      <c r="I4" s="12" t="n">
        <v>53</v>
      </c>
      <c r="J4" s="12" t="n">
        <v>51</v>
      </c>
      <c r="K4" s="12" t="n">
        <v>66.875</v>
      </c>
    </row>
  </sheetData>
  <conditionalFormatting sqref="C2:K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3" customWidth="1" min="12" max="12"/>
  </cols>
  <sheetData>
    <row r="1">
      <c r="A1" s="11" t="inlineStr">
        <is>
          <t>Escola</t>
        </is>
      </c>
      <c r="B1" s="11" t="inlineStr">
        <is>
          <t>Turma</t>
        </is>
      </c>
      <c r="C1" s="11" t="inlineStr">
        <is>
          <t>Avaliados</t>
        </is>
      </c>
      <c r="D1" s="11" t="inlineStr">
        <is>
          <t>H01 (D02)</t>
        </is>
      </c>
      <c r="E1" s="11" t="inlineStr">
        <is>
          <t>H02 (D01)</t>
        </is>
      </c>
      <c r="F1" s="11" t="inlineStr">
        <is>
          <t>H03 (D03)</t>
        </is>
      </c>
      <c r="G1" s="11" t="inlineStr">
        <is>
          <t>H04 (D05)</t>
        </is>
      </c>
      <c r="H1" s="11" t="inlineStr">
        <is>
          <t>H05 (D04)</t>
        </is>
      </c>
      <c r="I1" s="11" t="inlineStr">
        <is>
          <t>H06 (D07)</t>
        </is>
      </c>
      <c r="J1" s="11" t="inlineStr">
        <is>
          <t>H07 (D06)</t>
        </is>
      </c>
      <c r="K1" s="11" t="inlineStr">
        <is>
          <t>H08 (D08)</t>
        </is>
      </c>
      <c r="L1" s="11" t="inlineStr">
        <is>
          <t>Media habilidades (%)</t>
        </is>
      </c>
    </row>
    <row r="2">
      <c r="A2" s="2" t="inlineStr">
        <is>
          <t>EM JAYME SICILIANO</t>
        </is>
      </c>
      <c r="B2" s="2" t="inlineStr">
        <is>
          <t>201 PARCIAL</t>
        </is>
      </c>
      <c r="C2" s="2" t="n">
        <v>22</v>
      </c>
      <c r="D2" s="12" t="n">
        <v>95</v>
      </c>
      <c r="E2" s="12" t="n">
        <v>59</v>
      </c>
      <c r="F2" s="12" t="n">
        <v>100</v>
      </c>
      <c r="G2" s="12" t="n">
        <v>78</v>
      </c>
      <c r="H2" s="12" t="n">
        <v>54</v>
      </c>
      <c r="I2" s="12" t="n">
        <v>44</v>
      </c>
      <c r="J2" s="12" t="n">
        <v>74</v>
      </c>
      <c r="K2" s="12" t="n">
        <v>66</v>
      </c>
      <c r="L2" s="12" t="n">
        <v>71.25</v>
      </c>
    </row>
    <row r="3">
      <c r="A3" s="2" t="inlineStr">
        <is>
          <t>E M MARIA SEMEDO DE ANDRADE</t>
        </is>
      </c>
      <c r="B3" s="2" t="inlineStr">
        <is>
          <t>200 INTEGRAL</t>
        </is>
      </c>
      <c r="C3" s="2" t="n">
        <v>27</v>
      </c>
      <c r="D3" s="12" t="n">
        <v>98</v>
      </c>
      <c r="E3" s="12" t="n">
        <v>91</v>
      </c>
      <c r="F3" s="12" t="n">
        <v>83</v>
      </c>
      <c r="G3" s="12" t="n">
        <v>67</v>
      </c>
      <c r="H3" s="12" t="n">
        <v>51</v>
      </c>
      <c r="I3" s="12" t="n">
        <v>47</v>
      </c>
      <c r="J3" s="12" t="n">
        <v>65</v>
      </c>
      <c r="K3" s="12" t="n">
        <v>57</v>
      </c>
      <c r="L3" s="12" t="n">
        <v>69.875</v>
      </c>
    </row>
    <row r="4">
      <c r="A4" s="2" t="inlineStr">
        <is>
          <t>EM JAYME SICILIANO</t>
        </is>
      </c>
      <c r="B4" s="2" t="inlineStr">
        <is>
          <t>200 PARCIAL</t>
        </is>
      </c>
      <c r="C4" s="2" t="n">
        <v>21</v>
      </c>
      <c r="D4" s="12" t="n">
        <v>90</v>
      </c>
      <c r="E4" s="12" t="n">
        <v>90</v>
      </c>
      <c r="F4" s="12" t="n">
        <v>100</v>
      </c>
      <c r="G4" s="12" t="n">
        <v>61</v>
      </c>
      <c r="H4" s="12" t="n">
        <v>58</v>
      </c>
      <c r="I4" s="12" t="n">
        <v>50</v>
      </c>
      <c r="J4" s="12" t="n">
        <v>51</v>
      </c>
      <c r="K4" s="12" t="n">
        <v>56</v>
      </c>
      <c r="L4" s="12" t="n">
        <v>69.5</v>
      </c>
    </row>
    <row r="5">
      <c r="A5" s="2" t="inlineStr">
        <is>
          <t>E M HILDA BRAGA</t>
        </is>
      </c>
      <c r="B5" s="2" t="inlineStr">
        <is>
          <t>2 ANO</t>
        </is>
      </c>
      <c r="C5" s="2" t="n">
        <v>27</v>
      </c>
      <c r="D5" s="12" t="n">
        <v>94</v>
      </c>
      <c r="E5" s="12" t="n">
        <v>78</v>
      </c>
      <c r="F5" s="12" t="n">
        <v>89</v>
      </c>
      <c r="G5" s="12" t="n">
        <v>74</v>
      </c>
      <c r="H5" s="12" t="n">
        <v>55</v>
      </c>
      <c r="I5" s="12" t="n">
        <v>41</v>
      </c>
      <c r="J5" s="12" t="n">
        <v>53</v>
      </c>
      <c r="K5" s="12" t="n">
        <v>51</v>
      </c>
      <c r="L5" s="12" t="n">
        <v>66.875</v>
      </c>
    </row>
    <row r="6">
      <c r="A6" s="2" t="inlineStr">
        <is>
          <t>EM JAYME SICILIANO</t>
        </is>
      </c>
      <c r="B6" s="2" t="inlineStr">
        <is>
          <t>202 PARCIAL</t>
        </is>
      </c>
      <c r="C6" s="2" t="n">
        <v>15</v>
      </c>
      <c r="D6" s="12" t="n">
        <v>100</v>
      </c>
      <c r="E6" s="12" t="n">
        <v>87</v>
      </c>
      <c r="F6" s="12" t="n">
        <v>67</v>
      </c>
      <c r="G6" s="12" t="n">
        <v>39</v>
      </c>
      <c r="H6" s="12" t="n">
        <v>40</v>
      </c>
      <c r="I6" s="12" t="n">
        <v>47</v>
      </c>
      <c r="J6" s="12" t="n">
        <v>52</v>
      </c>
      <c r="K6" s="12" t="n">
        <v>37</v>
      </c>
      <c r="L6" s="12" t="n">
        <v>58.625</v>
      </c>
    </row>
  </sheetData>
  <conditionalFormatting sqref="D2:L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23" customWidth="1" min="3" max="3"/>
    <col width="25" customWidth="1" min="4" max="4"/>
    <col width="25" customWidth="1" min="5" max="5"/>
    <col width="27" customWidth="1" min="6" max="6"/>
    <col width="21" customWidth="1" min="7" max="7"/>
    <col width="21" customWidth="1" min="8" max="8"/>
    <col width="2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1" t="inlineStr">
        <is>
          <t>Escola</t>
        </is>
      </c>
      <c r="B1" s="11" t="inlineStr">
        <is>
          <t>Avaliados arquivo escola</t>
        </is>
      </c>
      <c r="C1" s="11" t="inlineStr">
        <is>
          <t>Avaliados soma turmas</t>
        </is>
      </c>
      <c r="D1" s="11" t="inlineStr">
        <is>
          <t>Participacao escola (%)</t>
        </is>
      </c>
      <c r="E1" s="11" t="inlineStr">
        <is>
          <t>Participacao turmas (%)</t>
        </is>
      </c>
      <c r="F1" s="11" t="inlineStr">
        <is>
          <t>Delta participacao (p.p.)</t>
        </is>
      </c>
      <c r="G1" s="11" t="inlineStr">
        <is>
          <t>Proficiencia escola</t>
        </is>
      </c>
      <c r="H1" s="11" t="inlineStr">
        <is>
          <t>Proficiencia turmas</t>
        </is>
      </c>
      <c r="I1" s="11" t="inlineStr">
        <is>
          <t>Delta proficiencia</t>
        </is>
      </c>
      <c r="J1" s="11" t="inlineStr">
        <is>
          <t>H01 delta</t>
        </is>
      </c>
      <c r="K1" s="11" t="inlineStr">
        <is>
          <t>H02 delta</t>
        </is>
      </c>
      <c r="L1" s="11" t="inlineStr">
        <is>
          <t>H03 delta</t>
        </is>
      </c>
      <c r="M1" s="11" t="inlineStr">
        <is>
          <t>H04 delta</t>
        </is>
      </c>
      <c r="N1" s="11" t="inlineStr">
        <is>
          <t>H05 delta</t>
        </is>
      </c>
      <c r="O1" s="11" t="inlineStr">
        <is>
          <t>H06 delta</t>
        </is>
      </c>
      <c r="P1" s="11" t="inlineStr">
        <is>
          <t>H07 delta</t>
        </is>
      </c>
      <c r="Q1" s="11" t="inlineStr">
        <is>
          <t>H08 delta</t>
        </is>
      </c>
    </row>
    <row r="2">
      <c r="A2" s="2" t="inlineStr">
        <is>
          <t>E M HILDA BRAGA</t>
        </is>
      </c>
      <c r="B2" s="2" t="n">
        <v>27</v>
      </c>
      <c r="C2" s="2" t="n">
        <v>27</v>
      </c>
      <c r="D2" s="2" t="n">
        <v>93</v>
      </c>
      <c r="E2" s="2" t="n">
        <v>93.09999999999999</v>
      </c>
      <c r="F2" s="8" t="n">
        <v>-0.1</v>
      </c>
      <c r="G2" s="2" t="n">
        <v>615</v>
      </c>
      <c r="H2" s="2" t="n">
        <v>615</v>
      </c>
      <c r="I2" s="8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inlineStr">
        <is>
          <t>E M MARIA SEMEDO DE ANDRADE</t>
        </is>
      </c>
      <c r="B3" s="2" t="n">
        <v>27</v>
      </c>
      <c r="C3" s="2" t="n">
        <v>27</v>
      </c>
      <c r="D3" s="2" t="n">
        <v>90</v>
      </c>
      <c r="E3" s="2" t="n">
        <v>90</v>
      </c>
      <c r="F3" s="8" t="n">
        <v>0</v>
      </c>
      <c r="G3" s="2" t="n">
        <v>622</v>
      </c>
      <c r="H3" s="2" t="n">
        <v>622</v>
      </c>
      <c r="I3" s="8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inlineStr">
        <is>
          <t>EM JAYME SICILIANO</t>
        </is>
      </c>
      <c r="B4" s="2" t="n">
        <v>58</v>
      </c>
      <c r="C4" s="2" t="n">
        <v>58</v>
      </c>
      <c r="D4" s="2" t="n">
        <v>91</v>
      </c>
      <c r="E4" s="2" t="n">
        <v>90.62</v>
      </c>
      <c r="F4" s="8" t="n">
        <v>0.38</v>
      </c>
      <c r="G4" s="2" t="n">
        <v>624</v>
      </c>
      <c r="H4" s="2" t="n">
        <v>624.26</v>
      </c>
      <c r="I4" s="8" t="n">
        <v>-0.26</v>
      </c>
      <c r="J4" s="2" t="n">
        <v>0.52</v>
      </c>
      <c r="K4" s="2" t="n">
        <v>2.53</v>
      </c>
      <c r="L4" s="2" t="n">
        <v>-2.47</v>
      </c>
      <c r="M4" s="2" t="n">
        <v>-2.76</v>
      </c>
      <c r="N4" s="2" t="n">
        <v>0.17</v>
      </c>
      <c r="O4" s="2" t="n">
        <v>0.05</v>
      </c>
      <c r="P4" s="2" t="n">
        <v>-0.98</v>
      </c>
      <c r="Q4" s="2" t="n">
        <v>1.12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3" t="inlineStr">
        <is>
          <t>Metodologia</t>
        </is>
      </c>
    </row>
    <row r="2"/>
    <row r="3">
      <c r="A3" s="14" t="inlineStr">
        <is>
          <t>Arquivo por escola: D:\Meu Drive\Estudo sobore Avaliações Externas\AlfabetizaRJ\Microdados\Mendes\DESEMPENHO POR ESCOLA - DENIS.xls</t>
        </is>
      </c>
    </row>
    <row r="4">
      <c r="A4" s="14" t="inlineStr">
        <is>
          <t>Arquivo por turma: D:\Meu Drive\Estudo sobore Avaliações Externas\AlfabetizaRJ\Microdados\Mendes\DESEMPENHO POR TURMA E ESCOLA - DENIS.xls</t>
        </is>
      </c>
    </row>
    <row r="5">
      <c r="A5" s="14" t="inlineStr">
        <is>
          <t>Legenda de habilidades: C:\Meus Projetos\Desenvolvendo\Gestão Educacional Inteligente\educacao-inteligente\export\generated\legenda_habilidades_alfabetizarj_2o_captura_2025.csv</t>
        </is>
      </c>
    </row>
    <row r="6">
      <c r="A6" s="14" t="inlineStr">
        <is>
          <t>A saida consolida os dados em um workbook Excel para leitura gerencial.</t>
        </is>
      </c>
    </row>
    <row r="7">
      <c r="A7" s="14" t="inlineStr">
        <is>
          <t>Nao ha gravacao de microdados em banco; a analise e feita localmente com agregacao em memoria.</t>
        </is>
      </c>
    </row>
    <row r="8">
      <c r="A8" s="14" t="inlineStr">
        <is>
          <t>Participacao global = avaliados / previstos.</t>
        </is>
      </c>
    </row>
    <row r="9">
      <c r="A9" s="14" t="inlineStr">
        <is>
          <t>Proficiencia media da rede = media ponderada por avaliados.</t>
        </is>
      </c>
    </row>
    <row r="10">
      <c r="A10" s="14" t="inlineStr">
        <is>
          <t>Niveis de desempenho e habilidades tambem usam ponderacao por avaliados.</t>
        </is>
      </c>
    </row>
    <row r="11">
      <c r="A11" s="14" t="inlineStr">
        <is>
          <t>A aba Conferencia compara o arquivo por escola com a reconstituicao a partir das turmas.</t>
        </is>
      </c>
    </row>
    <row r="12">
      <c r="A12" s="14" t="inlineStr">
        <is>
          <t>Quando houver legenda Hxx disponivel, o workbook exibe o codigo publico associado (por exemplo D02).</t>
        </is>
      </c>
    </row>
  </sheetData>
  <mergeCells count="11">
    <mergeCell ref="A1:H1"/>
    <mergeCell ref="A4:H4"/>
    <mergeCell ref="A9:H9"/>
    <mergeCell ref="A3:H3"/>
    <mergeCell ref="A12:H12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2026-03-26T19:26:44Z</dcterms:created>
  <dcterms:modified xsi:type="dcterms:W3CDTF">2026-03-26T19:26:44Z</dcterms:modified>
</cp:coreProperties>
</file>